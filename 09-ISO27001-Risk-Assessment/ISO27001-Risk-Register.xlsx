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isk Register" sheetId="1" state="visible" r:id="rId1"/>
    <sheet xmlns:r="http://schemas.openxmlformats.org/officeDocument/2006/relationships" name="Summary" sheetId="2" state="visible" r:id="rId2"/>
  </sheets>
  <definedNames>
    <definedName name="_xlnm._FilterDatabase" localSheetId="0" hidden="1">'Risk Register'!$A$1:$S$13</definedName>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0"/>
    </font>
    <font>
      <name val="Arial"/>
      <charset val="1"/>
      <family val="0"/>
      <sz val="10"/>
    </font>
    <font>
      <name val="Calibri"/>
      <b val="1"/>
      <color rgb="FF000000"/>
      <sz val="11"/>
    </font>
    <font>
      <name val="Calibri"/>
      <color rgb="FF000000"/>
      <sz val="11"/>
    </font>
  </fonts>
  <fills count="3">
    <fill>
      <patternFill/>
    </fill>
    <fill>
      <patternFill patternType="gray125"/>
    </fill>
    <fill>
      <patternFill patternType="solid">
        <fgColor rgb="FFD9EAD3"/>
      </patternFill>
    </fill>
  </fills>
  <borders count="4">
    <border>
      <left/>
      <right/>
      <top/>
      <bottom/>
      <diagonal/>
    </border>
    <border>
      <left style="thin"/>
      <right style="thin"/>
      <top style="thin"/>
      <bottom style="thin"/>
      <diagonal/>
    </border>
    <border>
      <left style="thin"/>
      <right style="thin"/>
      <top style="thin"/>
      <bottom style="thin"/>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4" fillId="0"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5" fillId="0" borderId="0" applyAlignment="1" pivotButton="0" quotePrefix="0" xfId="0">
      <alignment horizontal="general" vertical="top" wrapText="1"/>
    </xf>
    <xf numFmtId="0" fontId="5" fillId="0" borderId="1" applyAlignment="1" pivotButton="0" quotePrefix="0" xfId="0">
      <alignment horizontal="left" vertical="bottom"/>
    </xf>
    <xf numFmtId="0" fontId="5" fillId="0" borderId="1" applyAlignment="1" pivotButton="0" quotePrefix="0" xfId="0">
      <alignment horizontal="center" vertical="bottom"/>
    </xf>
    <xf numFmtId="0" fontId="4" fillId="0" borderId="1" applyAlignment="1" pivotButton="0" quotePrefix="0" xfId="0">
      <alignment horizontal="left" vertical="bottom"/>
    </xf>
    <xf numFmtId="0" fontId="4" fillId="0"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6" fillId="2" borderId="2" applyAlignment="1" pivotButton="0" quotePrefix="0" xfId="0">
      <alignment horizontal="center" vertical="center" wrapText="1"/>
    </xf>
    <xf numFmtId="0" fontId="7" fillId="0" borderId="2" applyAlignment="1" pivotButton="0" quotePrefix="0" xfId="0">
      <alignment horizontal="left" vertical="top" wrapText="1"/>
    </xf>
    <xf numFmtId="0" fontId="0" fillId="0" borderId="3" pivotButton="0" quotePrefix="0" xfId="0"/>
    <xf numFmtId="0" fontId="7" fillId="0" borderId="3" applyAlignment="1" pivotButton="0" quotePrefix="0" xfId="0">
      <alignment horizontal="left" vertical="top" wrapText="1"/>
    </xf>
    <xf numFmtId="0" fontId="6"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ill>
        <patternFill patternType="solid">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S17"/>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9" min="1" max="1"/>
    <col width="28" customWidth="1" style="9" min="2" max="2"/>
    <col width="22" customWidth="1" style="9" min="3" max="3"/>
    <col width="38" customWidth="1" style="9" min="4" max="4"/>
    <col width="11" customWidth="1" style="9" min="5" max="5"/>
    <col width="9" customWidth="1" style="9" min="6" max="6"/>
    <col width="10" customWidth="1" style="9" min="7" max="7"/>
    <col width="11" customWidth="1" style="9" min="8" max="8"/>
    <col width="30" customWidth="1" style="9" min="9" max="9"/>
    <col width="38" customWidth="1" style="9" min="10" max="10"/>
    <col width="10" customWidth="1" style="9" min="11" max="11"/>
    <col width="34" customWidth="1" style="9" min="12" max="12"/>
    <col width="22" customWidth="1" style="9" min="13" max="13"/>
    <col width="28" customWidth="1" style="9" min="14" max="14"/>
    <col width="13" customWidth="1" style="9" min="15" max="15"/>
    <col width="11" customWidth="1" style="9" min="16" max="16"/>
    <col width="10" customWidth="1" style="9" min="17" max="17"/>
    <col width="11" customWidth="1" style="9" min="18" max="18"/>
    <col width="55" customWidth="1" style="9" min="19" max="19"/>
  </cols>
  <sheetData>
    <row r="1" s="10">
      <c r="A1" s="11" t="inlineStr">
        <is>
          <t>Risk ID</t>
        </is>
      </c>
      <c r="B1" s="11" t="inlineStr">
        <is>
          <t>Context Source</t>
        </is>
      </c>
      <c r="C1" s="11" t="inlineStr">
        <is>
          <t>Asset / Area</t>
        </is>
      </c>
      <c r="D1" s="11" t="inlineStr">
        <is>
          <t>Risk</t>
        </is>
      </c>
      <c r="E1" s="11" t="inlineStr">
        <is>
          <t>Likelihood (1-5)</t>
        </is>
      </c>
      <c r="F1" s="11" t="inlineStr">
        <is>
          <t>Impact (1-5)</t>
        </is>
      </c>
      <c r="G1" s="11" t="inlineStr">
        <is>
          <t>Inherent Score</t>
        </is>
      </c>
      <c r="H1" s="11" t="inlineStr">
        <is>
          <t>Inherent Rating</t>
        </is>
      </c>
      <c r="I1" s="11" t="inlineStr">
        <is>
          <t>Existing Control</t>
        </is>
      </c>
      <c r="J1" s="11" t="inlineStr">
        <is>
          <t>ITGC Evidence Reference</t>
        </is>
      </c>
      <c r="K1" s="11" t="inlineStr">
        <is>
          <t>Treatment</t>
        </is>
      </c>
      <c r="L1" s="11" t="inlineStr">
        <is>
          <t>Planned Action</t>
        </is>
      </c>
      <c r="M1" s="11" t="inlineStr">
        <is>
          <t>Risk Owner</t>
        </is>
      </c>
      <c r="N1" s="11" t="inlineStr">
        <is>
          <t>Action Owner</t>
        </is>
      </c>
      <c r="O1" s="11" t="inlineStr">
        <is>
          <t>Residual Likelihood (1-5)</t>
        </is>
      </c>
      <c r="P1" s="11" t="inlineStr">
        <is>
          <t>Residual Impact (1-5)</t>
        </is>
      </c>
      <c r="Q1" s="11" t="inlineStr">
        <is>
          <t>Residual Score</t>
        </is>
      </c>
      <c r="R1" s="11" t="inlineStr">
        <is>
          <t>Residual Rating</t>
        </is>
      </c>
      <c r="S1" s="11" t="inlineStr">
        <is>
          <t>Residual Rationale</t>
        </is>
      </c>
    </row>
    <row r="2" s="10">
      <c r="A2" s="12" t="inlineStr">
        <is>
          <t>R-001</t>
        </is>
      </c>
      <c r="B2" s="12" t="inlineStr">
        <is>
          <t>Okta identity dependency</t>
        </is>
      </c>
      <c r="C2" s="12" t="inlineStr">
        <is>
          <t>User accounts</t>
        </is>
      </c>
      <c r="D2" s="12" t="inlineStr">
        <is>
          <t>Users retain access no longer appropriate for their role</t>
        </is>
      </c>
      <c r="E2" s="12" t="n">
        <v>3</v>
      </c>
      <c r="F2" s="12" t="n">
        <v>4</v>
      </c>
      <c r="G2" s="12">
        <f>E2*F2</f>
        <v/>
      </c>
      <c r="H2" s="12">
        <f>IF(G2&gt;=20,"Critical",IF(G2&gt;=11,"High",IF(G2&gt;=6,"Medium","Low")))</f>
        <v/>
      </c>
      <c r="I2" s="12" t="inlineStr">
        <is>
          <t>Quarterly access reviews</t>
        </is>
      </c>
      <c r="J2" s="12" t="inlineStr">
        <is>
          <t>04-User-Access-Management: UAM-T001 (E-001 to E-003)</t>
        </is>
      </c>
      <c r="K2" s="12" t="inlineStr">
        <is>
          <t>Reduce</t>
        </is>
      </c>
      <c r="L2" s="12" t="inlineStr">
        <is>
          <t>Continue quarterly reviews; extend testing to Q2-Q4</t>
        </is>
      </c>
      <c r="M2" s="12" t="inlineStr">
        <is>
          <t>Application Owners</t>
        </is>
      </c>
      <c r="N2" s="12" t="inlineStr">
        <is>
          <t>Application Owners</t>
        </is>
      </c>
      <c r="O2" s="12" t="n">
        <v>2</v>
      </c>
      <c r="P2" s="12" t="n">
        <v>4</v>
      </c>
      <c r="Q2" s="12">
        <f>O2*P2</f>
        <v/>
      </c>
      <c r="R2" s="12">
        <f>IF(Q2&gt;=20,"Critical",IF(Q2&gt;=11,"High",IF(Q2&gt;=6,"Medium","Low")))</f>
        <v/>
      </c>
      <c r="S2" s="12" t="inlineStr">
        <is>
          <t>Quarterly review lowers likelihood. Only Q1 was tested, and impact of retained access is unchanged.</t>
        </is>
      </c>
    </row>
    <row r="3" s="10">
      <c r="A3" s="12" t="inlineStr">
        <is>
          <t>R-002</t>
        </is>
      </c>
      <c r="B3" s="12" t="inlineStr">
        <is>
          <t>Okta identity dependency</t>
        </is>
      </c>
      <c r="C3" s="12" t="inlineStr">
        <is>
          <t>New user access</t>
        </is>
      </c>
      <c r="D3" s="12" t="inlineStr">
        <is>
          <t>Users granted unapproved or excessive access</t>
        </is>
      </c>
      <c r="E3" s="12" t="n">
        <v>3</v>
      </c>
      <c r="F3" s="12" t="n">
        <v>4</v>
      </c>
      <c r="G3" s="12">
        <f>E3*F3</f>
        <v/>
      </c>
      <c r="H3" s="12">
        <f>IF(G3&gt;=20,"Critical",IF(G3&gt;=11,"High",IF(G3&gt;=6,"Medium","Low")))</f>
        <v/>
      </c>
      <c r="I3" s="12" t="inlineStr">
        <is>
          <t>Manager approval required before provisioning</t>
        </is>
      </c>
      <c r="J3" s="12" t="inlineStr">
        <is>
          <t>04-User-Access-Management: UAM-T002 (E-004 to E-006)</t>
        </is>
      </c>
      <c r="K3" s="12" t="inlineStr">
        <is>
          <t>Reduce</t>
        </is>
      </c>
      <c r="L3" s="12" t="inlineStr">
        <is>
          <t>Maintain approval workflow</t>
        </is>
      </c>
      <c r="M3" s="12" t="inlineStr">
        <is>
          <t>IT Manager</t>
        </is>
      </c>
      <c r="N3" s="12" t="inlineStr">
        <is>
          <t>IT Manager</t>
        </is>
      </c>
      <c r="O3" s="12" t="n">
        <v>2</v>
      </c>
      <c r="P3" s="12" t="n">
        <v>4</v>
      </c>
      <c r="Q3" s="12">
        <f>O3*P3</f>
        <v/>
      </c>
      <c r="R3" s="12">
        <f>IF(Q3&gt;=20,"Critical",IF(Q3&gt;=11,"High",IF(Q3&gt;=6,"Medium","Low")))</f>
        <v/>
      </c>
      <c r="S3" s="12" t="inlineStr">
        <is>
          <t>Approval before provisioning lowers likelihood. Impact of excessive access is unchanged.</t>
        </is>
      </c>
    </row>
    <row r="4" s="10">
      <c r="A4" s="12" t="inlineStr">
        <is>
          <t>R-003</t>
        </is>
      </c>
      <c r="B4" s="12" t="inlineStr">
        <is>
          <t>Employee lifecycle</t>
        </is>
      </c>
      <c r="C4" s="12" t="inlineStr">
        <is>
          <t>Terminated user accounts</t>
        </is>
      </c>
      <c r="D4" s="12" t="inlineStr">
        <is>
          <t>Terminated employees retain system access</t>
        </is>
      </c>
      <c r="E4" s="12" t="n">
        <v>3</v>
      </c>
      <c r="F4" s="12" t="n">
        <v>5</v>
      </c>
      <c r="G4" s="12">
        <f>E4*F4</f>
        <v/>
      </c>
      <c r="H4" s="12">
        <f>IF(G4&gt;=20,"Critical",IF(G4&gt;=11,"High",IF(G4&gt;=6,"Medium","Low")))</f>
        <v/>
      </c>
      <c r="I4" s="12" t="inlineStr">
        <is>
          <t>Account deactivation within 1-business-day SLA</t>
        </is>
      </c>
      <c r="J4" s="12" t="inlineStr">
        <is>
          <t>04-User-Access-Management: UAM-T003 (E-007, E-008)</t>
        </is>
      </c>
      <c r="K4" s="12" t="inlineStr">
        <is>
          <t>Reduce</t>
        </is>
      </c>
      <c r="L4" s="12" t="inlineStr">
        <is>
          <t>Maintain SLA monitoring</t>
        </is>
      </c>
      <c r="M4" s="12" t="inlineStr">
        <is>
          <t>IT Manager</t>
        </is>
      </c>
      <c r="N4" s="12" t="inlineStr">
        <is>
          <t>IT Manager</t>
        </is>
      </c>
      <c r="O4" s="12" t="n">
        <v>1</v>
      </c>
      <c r="P4" s="12" t="n">
        <v>5</v>
      </c>
      <c r="Q4" s="12">
        <f>O4*P4</f>
        <v/>
      </c>
      <c r="R4" s="12">
        <f>IF(Q4&gt;=20,"Critical",IF(Q4&gt;=11,"High",IF(Q4&gt;=6,"Medium","Low")))</f>
        <v/>
      </c>
      <c r="S4" s="12" t="inlineStr">
        <is>
          <t>Automated deactivation makes occurrence rare, but a retained account would still have severe consequences.</t>
        </is>
      </c>
    </row>
    <row r="5" s="10">
      <c r="A5" s="12" t="inlineStr">
        <is>
          <t>R-004</t>
        </is>
      </c>
      <c r="B5" s="12" t="inlineStr">
        <is>
          <t>Okta dependency; IT and review functions share a reporting line</t>
        </is>
      </c>
      <c r="C5" s="12" t="inlineStr">
        <is>
          <t>Privileged accounts</t>
        </is>
      </c>
      <c r="D5" s="12" t="inlineStr">
        <is>
          <t>Inappropriate privileged access goes undetected because review lacks independence</t>
        </is>
      </c>
      <c r="E5" s="12" t="n">
        <v>3</v>
      </c>
      <c r="F5" s="12" t="n">
        <v>5</v>
      </c>
      <c r="G5" s="12">
        <f>E5*F5</f>
        <v/>
      </c>
      <c r="H5" s="12">
        <f>IF(G5&gt;=20,"Critical",IF(G5&gt;=11,"High",IF(G5&gt;=6,"Medium","Low")))</f>
        <v/>
      </c>
      <c r="I5" s="12" t="inlineStr">
        <is>
          <t>Quarterly privileged access review</t>
        </is>
      </c>
      <c r="J5" s="12" t="inlineStr">
        <is>
          <t>04-User-Access-Management: UAM-T004 (E-009, E-010); SoD observation in 07-Audit-Report</t>
        </is>
      </c>
      <c r="K5" s="12" t="inlineStr">
        <is>
          <t>Reduce</t>
        </is>
      </c>
      <c r="L5" s="12" t="inlineStr">
        <is>
          <t>Add independent Security/Compliance co-review</t>
        </is>
      </c>
      <c r="M5" s="12" t="inlineStr">
        <is>
          <t>IT Manager</t>
        </is>
      </c>
      <c r="N5" s="12" t="inlineStr">
        <is>
          <t>Security/Compliance function (role to be assigned)</t>
        </is>
      </c>
      <c r="O5" s="12" t="n">
        <v>2</v>
      </c>
      <c r="P5" s="12" t="n">
        <v>5</v>
      </c>
      <c r="Q5" s="12">
        <f>O5*P5</f>
        <v/>
      </c>
      <c r="R5" s="12">
        <f>IF(Q5&gt;=20,"Critical",IF(Q5&gt;=11,"High",IF(Q5&gt;=6,"Medium","Low")))</f>
        <v/>
      </c>
      <c r="S5" s="12" t="inlineStr">
        <is>
          <t>Quarterly review reduces likelihood somewhat. The lack of independent review limits further reduction, and impact remains severe.</t>
        </is>
      </c>
    </row>
    <row r="6" s="10">
      <c r="A6" s="12" t="inlineStr">
        <is>
          <t>R-005</t>
        </is>
      </c>
      <c r="B6" s="12" t="inlineStr">
        <is>
          <t>AWS cloud dependency</t>
        </is>
      </c>
      <c r="C6" s="12" t="inlineStr">
        <is>
          <t>Production environment</t>
        </is>
      </c>
      <c r="D6" s="12" t="inlineStr">
        <is>
          <t>Unauthorized or untested changes cause outage or data issues</t>
        </is>
      </c>
      <c r="E6" s="12" t="n">
        <v>2</v>
      </c>
      <c r="F6" s="12" t="n">
        <v>5</v>
      </c>
      <c r="G6" s="12">
        <f>E6*F6</f>
        <v/>
      </c>
      <c r="H6" s="12">
        <f>IF(G6&gt;=20,"Critical",IF(G6&gt;=11,"High",IF(G6&gt;=6,"Medium","Low")))</f>
        <v/>
      </c>
      <c r="I6" s="12" t="inlineStr">
        <is>
          <t>Approval and testing before production deployment</t>
        </is>
      </c>
      <c r="J6" s="12" t="inlineStr">
        <is>
          <t>05-Change-Management: CHG-T001 (E-011 to E-014)</t>
        </is>
      </c>
      <c r="K6" s="12" t="inlineStr">
        <is>
          <t>Reduce</t>
        </is>
      </c>
      <c r="L6" s="12" t="inlineStr">
        <is>
          <t>Maintain change workflow</t>
        </is>
      </c>
      <c r="M6" s="12" t="inlineStr">
        <is>
          <t>Engineering Manager</t>
        </is>
      </c>
      <c r="N6" s="12" t="inlineStr">
        <is>
          <t>Engineering Manager</t>
        </is>
      </c>
      <c r="O6" s="12" t="n">
        <v>1</v>
      </c>
      <c r="P6" s="12" t="n">
        <v>5</v>
      </c>
      <c r="Q6" s="12">
        <f>O6*P6</f>
        <v/>
      </c>
      <c r="R6" s="12">
        <f>IF(Q6&gt;=20,"Critical",IF(Q6&gt;=11,"High",IF(Q6&gt;=6,"Medium","Low")))</f>
        <v/>
      </c>
      <c r="S6" s="12" t="inlineStr">
        <is>
          <t>Approval and testing make unauthorized or untested changes rare. Outage impact is unchanged.</t>
        </is>
      </c>
    </row>
    <row r="7" s="10">
      <c r="A7" s="12" t="inlineStr">
        <is>
          <t>R-006</t>
        </is>
      </c>
      <c r="B7" s="12" t="inlineStr">
        <is>
          <t>AWS cloud dependency</t>
        </is>
      </c>
      <c r="C7" s="12" t="inlineStr">
        <is>
          <t>Production database</t>
        </is>
      </c>
      <c r="D7" s="12" t="inlineStr">
        <is>
          <t>Backup failures leave gaps in data recovery capability</t>
        </is>
      </c>
      <c r="E7" s="12" t="n">
        <v>2</v>
      </c>
      <c r="F7" s="12" t="n">
        <v>5</v>
      </c>
      <c r="G7" s="12">
        <f>E7*F7</f>
        <v/>
      </c>
      <c r="H7" s="12">
        <f>IF(G7&gt;=20,"Critical",IF(G7&gt;=11,"High",IF(G7&gt;=6,"Medium","Low")))</f>
        <v/>
      </c>
      <c r="I7" s="12" t="inlineStr">
        <is>
          <t>Daily backup monitoring and failure investigation</t>
        </is>
      </c>
      <c r="J7" s="12" t="inlineStr">
        <is>
          <t>06-Computer-Operations: OPS-T001 (E-015, E-018)</t>
        </is>
      </c>
      <c r="K7" s="12" t="inlineStr">
        <is>
          <t>Reduce</t>
        </is>
      </c>
      <c r="L7" s="12" t="inlineStr">
        <is>
          <t>Add periodic restore testing (outside current ITGC scope)</t>
        </is>
      </c>
      <c r="M7" s="12" t="inlineStr">
        <is>
          <t>Infrastructure Operations</t>
        </is>
      </c>
      <c r="N7" s="12" t="inlineStr">
        <is>
          <t>Infrastructure Operations</t>
        </is>
      </c>
      <c r="O7" s="12" t="n">
        <v>1</v>
      </c>
      <c r="P7" s="12" t="n">
        <v>5</v>
      </c>
      <c r="Q7" s="12">
        <f>O7*P7</f>
        <v/>
      </c>
      <c r="R7" s="12">
        <f>IF(Q7&gt;=20,"Critical",IF(Q7&gt;=11,"High",IF(Q7&gt;=6,"Medium","Low")))</f>
        <v/>
      </c>
      <c r="S7" s="12" t="inlineStr">
        <is>
          <t>Monitoring and same-day remediation reduce likelihood. Restore testing is out of scope, so there is no impact credit.</t>
        </is>
      </c>
    </row>
    <row r="8" s="10">
      <c r="A8" s="12" t="inlineStr">
        <is>
          <t>R-007</t>
        </is>
      </c>
      <c r="B8" s="12" t="inlineStr">
        <is>
          <t>AWS cloud dependency</t>
        </is>
      </c>
      <c r="C8" s="12" t="inlineStr">
        <is>
          <t>Batch processing</t>
        </is>
      </c>
      <c r="D8" s="12" t="inlineStr">
        <is>
          <t>Batch failures disrupt operations or produce inaccurate processing</t>
        </is>
      </c>
      <c r="E8" s="12" t="n">
        <v>3</v>
      </c>
      <c r="F8" s="12" t="n">
        <v>3</v>
      </c>
      <c r="G8" s="12">
        <f>E8*F8</f>
        <v/>
      </c>
      <c r="H8" s="12">
        <f>IF(G8&gt;=20,"Critical",IF(G8&gt;=11,"High",IF(G8&gt;=6,"Medium","Low")))</f>
        <v/>
      </c>
      <c r="I8" s="12" t="inlineStr">
        <is>
          <t>Batch job monitoring and failure investigation</t>
        </is>
      </c>
      <c r="J8" s="12" t="inlineStr">
        <is>
          <t>06-Computer-Operations: OPS-T002 (E-016, E-019)</t>
        </is>
      </c>
      <c r="K8" s="12" t="inlineStr">
        <is>
          <t>Reduce</t>
        </is>
      </c>
      <c r="L8" s="12" t="inlineStr">
        <is>
          <t>Maintain monitoring</t>
        </is>
      </c>
      <c r="M8" s="12" t="inlineStr">
        <is>
          <t>Infrastructure Operations</t>
        </is>
      </c>
      <c r="N8" s="12" t="inlineStr">
        <is>
          <t>Infrastructure Operations</t>
        </is>
      </c>
      <c r="O8" s="12" t="n">
        <v>2</v>
      </c>
      <c r="P8" s="12" t="n">
        <v>3</v>
      </c>
      <c r="Q8" s="12">
        <f>O8*P8</f>
        <v/>
      </c>
      <c r="R8" s="12">
        <f>IF(Q8&gt;=20,"Critical",IF(Q8&gt;=11,"High",IF(Q8&gt;=6,"Medium","Low")))</f>
        <v/>
      </c>
      <c r="S8" s="12" t="inlineStr">
        <is>
          <t>Two March failures occurred and were remediated. Likelihood stays at Unlikely and impact is unchanged.</t>
        </is>
      </c>
    </row>
    <row r="9" s="10">
      <c r="A9" s="12" t="inlineStr">
        <is>
          <t>R-008</t>
        </is>
      </c>
      <c r="B9" s="12" t="inlineStr">
        <is>
          <t>Enterprise customer contracts</t>
        </is>
      </c>
      <c r="C9" s="12" t="inlineStr">
        <is>
          <t>IT operations</t>
        </is>
      </c>
      <c r="D9" s="12" t="inlineStr">
        <is>
          <t>Incidents not identified, tracked, or resolved in time</t>
        </is>
      </c>
      <c r="E9" s="12" t="n">
        <v>2</v>
      </c>
      <c r="F9" s="12" t="n">
        <v>4</v>
      </c>
      <c r="G9" s="12">
        <f>E9*F9</f>
        <v/>
      </c>
      <c r="H9" s="12">
        <f>IF(G9&gt;=20,"Critical",IF(G9&gt;=11,"High",IF(G9&gt;=6,"Medium","Low")))</f>
        <v/>
      </c>
      <c r="I9" s="12" t="inlineStr">
        <is>
          <t>Incident logging, tracking, and closure verification</t>
        </is>
      </c>
      <c r="J9" s="12" t="inlineStr">
        <is>
          <t>06-Computer-Operations: OPS-T003 (E-017, E-020)</t>
        </is>
      </c>
      <c r="K9" s="12" t="inlineStr">
        <is>
          <t>Reduce</t>
        </is>
      </c>
      <c r="L9" s="12" t="inlineStr">
        <is>
          <t>Maintain incident process</t>
        </is>
      </c>
      <c r="M9" s="12" t="inlineStr">
        <is>
          <t>IT Manager</t>
        </is>
      </c>
      <c r="N9" s="12" t="inlineStr">
        <is>
          <t>IT Manager</t>
        </is>
      </c>
      <c r="O9" s="12" t="n">
        <v>1</v>
      </c>
      <c r="P9" s="12" t="n">
        <v>4</v>
      </c>
      <c r="Q9" s="12">
        <f>O9*P9</f>
        <v/>
      </c>
      <c r="R9" s="12">
        <f>IF(Q9&gt;=20,"Critical",IF(Q9&gt;=11,"High",IF(Q9&gt;=6,"Medium","Low")))</f>
        <v/>
      </c>
      <c r="S9" s="12" t="inlineStr">
        <is>
          <t>Tracked closure lowers the chance an incident goes unresolved. Impact is unchanged.</t>
        </is>
      </c>
    </row>
    <row r="10" s="10">
      <c r="A10" s="12" t="inlineStr">
        <is>
          <t>R-009</t>
        </is>
      </c>
      <c r="B10" s="12" t="inlineStr">
        <is>
          <t>Enterprise SaaS market and customer expectations</t>
        </is>
      </c>
      <c r="C10" s="12" t="inlineStr">
        <is>
          <t>Customer data</t>
        </is>
      </c>
      <c r="D10" s="12" t="inlineStr">
        <is>
          <t>Unauthorized access to customer information</t>
        </is>
      </c>
      <c r="E10" s="12" t="n">
        <v>2</v>
      </c>
      <c r="F10" s="12" t="n">
        <v>5</v>
      </c>
      <c r="G10" s="12">
        <f>E10*F10</f>
        <v/>
      </c>
      <c r="H10" s="12">
        <f>IF(G10&gt;=20,"Critical",IF(G10&gt;=11,"High",IF(G10&gt;=6,"Medium","Low")))</f>
        <v/>
      </c>
      <c r="I10" s="12" t="inlineStr">
        <is>
          <t>Okta MFA and access controls</t>
        </is>
      </c>
      <c r="J10" s="12" t="inlineStr">
        <is>
          <t>MFA enforcement not tested within ITGC scope</t>
        </is>
      </c>
      <c r="K10" s="12" t="inlineStr">
        <is>
          <t>Reduce</t>
        </is>
      </c>
      <c r="L10" s="12" t="inlineStr">
        <is>
          <t>Add MFA enforcement test in next audit cycle</t>
        </is>
      </c>
      <c r="M10" s="12" t="inlineStr">
        <is>
          <t>IT Manager</t>
        </is>
      </c>
      <c r="N10" s="12" t="inlineStr">
        <is>
          <t>IT Manager</t>
        </is>
      </c>
      <c r="O10" s="12" t="n">
        <v>2</v>
      </c>
      <c r="P10" s="12" t="n">
        <v>5</v>
      </c>
      <c r="Q10" s="12">
        <f>O10*P10</f>
        <v/>
      </c>
      <c r="R10" s="12">
        <f>IF(Q10&gt;=20,"Critical",IF(Q10&gt;=11,"High",IF(Q10&gt;=6,"Medium","Low")))</f>
        <v/>
      </c>
      <c r="S10" s="12" t="inlineStr">
        <is>
          <t>MFA exists but was not tested, so no reduction is applied. Residual equals inherent.</t>
        </is>
      </c>
    </row>
    <row r="11" s="10">
      <c r="A11" s="12" t="inlineStr">
        <is>
          <t>R-010</t>
        </is>
      </c>
      <c r="B11" s="12" t="inlineStr">
        <is>
          <t>AWS shared responsibility model</t>
        </is>
      </c>
      <c r="C11" s="12" t="inlineStr">
        <is>
          <t>Cloud configuration</t>
        </is>
      </c>
      <c r="D11" s="12" t="inlineStr">
        <is>
          <t>Misconfiguration exposes data or services</t>
        </is>
      </c>
      <c r="E11" s="12" t="n">
        <v>3</v>
      </c>
      <c r="F11" s="12" t="n">
        <v>4</v>
      </c>
      <c r="G11" s="12">
        <f>E11*F11</f>
        <v/>
      </c>
      <c r="H11" s="12">
        <f>IF(G11&gt;=20,"Critical",IF(G11&gt;=11,"High",IF(G11&gt;=6,"Medium","Low")))</f>
        <v/>
      </c>
      <c r="I11" s="12" t="inlineStr">
        <is>
          <t>None within current ITGC scope</t>
        </is>
      </c>
      <c r="J11" s="12" t="inlineStr">
        <is>
          <t>Not tested; control gap</t>
        </is>
      </c>
      <c r="K11" s="12" t="inlineStr">
        <is>
          <t>Reduce</t>
        </is>
      </c>
      <c r="L11" s="12" t="inlineStr">
        <is>
          <t>Introduce cloud configuration monitoring</t>
        </is>
      </c>
      <c r="M11" s="12" t="inlineStr">
        <is>
          <t>Infrastructure Operations</t>
        </is>
      </c>
      <c r="N11" s="12" t="inlineStr">
        <is>
          <t>Infrastructure Operations</t>
        </is>
      </c>
      <c r="O11" s="12" t="n">
        <v>3</v>
      </c>
      <c r="P11" s="12" t="n">
        <v>4</v>
      </c>
      <c r="Q11" s="12">
        <f>O11*P11</f>
        <v/>
      </c>
      <c r="R11" s="12">
        <f>IF(Q11&gt;=20,"Critical",IF(Q11&gt;=11,"High",IF(Q11&gt;=6,"Medium","Low")))</f>
        <v/>
      </c>
      <c r="S11" s="12" t="inlineStr">
        <is>
          <t>No configuration monitoring control exists within scope. Residual risk equals inherent risk.</t>
        </is>
      </c>
    </row>
    <row r="12" s="10">
      <c r="A12" s="12" t="inlineStr">
        <is>
          <t>R-011</t>
        </is>
      </c>
      <c r="B12" s="12" t="inlineStr">
        <is>
          <t>Engineering-driven, cloud-native model</t>
        </is>
      </c>
      <c r="C12" s="12" t="inlineStr">
        <is>
          <t>Source code and secrets</t>
        </is>
      </c>
      <c r="D12" s="12" t="inlineStr">
        <is>
          <t>Insecure code or hardcoded credentials reach production</t>
        </is>
      </c>
      <c r="E12" s="12" t="n">
        <v>2</v>
      </c>
      <c r="F12" s="12" t="n">
        <v>4</v>
      </c>
      <c r="G12" s="12">
        <f>E12*F12</f>
        <v/>
      </c>
      <c r="H12" s="12">
        <f>IF(G12&gt;=20,"Critical",IF(G12&gt;=11,"High",IF(G12&gt;=6,"Medium","Low")))</f>
        <v/>
      </c>
      <c r="I12" s="12" t="inlineStr">
        <is>
          <t>None within current ITGC scope</t>
        </is>
      </c>
      <c r="J12" s="12" t="inlineStr">
        <is>
          <t>Not tested; control gap</t>
        </is>
      </c>
      <c r="K12" s="12" t="inlineStr">
        <is>
          <t>Reduce</t>
        </is>
      </c>
      <c r="L12" s="12" t="inlineStr">
        <is>
          <t>Define secure SDLC controls</t>
        </is>
      </c>
      <c r="M12" s="12" t="inlineStr">
        <is>
          <t>Engineering Manager</t>
        </is>
      </c>
      <c r="N12" s="12" t="inlineStr">
        <is>
          <t>Engineering Manager</t>
        </is>
      </c>
      <c r="O12" s="12" t="n">
        <v>2</v>
      </c>
      <c r="P12" s="12" t="n">
        <v>4</v>
      </c>
      <c r="Q12" s="12">
        <f>O12*P12</f>
        <v/>
      </c>
      <c r="R12" s="12">
        <f>IF(Q12&gt;=20,"Critical",IF(Q12&gt;=11,"High",IF(Q12&gt;=6,"Medium","Low")))</f>
        <v/>
      </c>
      <c r="S12" s="12" t="inlineStr">
        <is>
          <t>No secure SDLC control is currently within the ITGC audit scope, so no reduction in likelihood or impact can be justified. Residual risk equals inherent risk pending implementation and testing of secure SDLC controls.</t>
        </is>
      </c>
    </row>
    <row r="13" s="10">
      <c r="A13" s="12" t="inlineStr">
        <is>
          <t>R-012</t>
        </is>
      </c>
      <c r="B13" s="12" t="inlineStr">
        <is>
          <t>Third-party apps integrated via Okta SSO</t>
        </is>
      </c>
      <c r="C13" s="12" t="inlineStr">
        <is>
          <t>Downstream applications</t>
        </is>
      </c>
      <c r="D13" s="12" t="inlineStr">
        <is>
          <t>Compromise of a connected app through the SSO trust relationship</t>
        </is>
      </c>
      <c r="E13" s="12" t="n">
        <v>2</v>
      </c>
      <c r="F13" s="12" t="n">
        <v>3</v>
      </c>
      <c r="G13" s="12">
        <f>E13*F13</f>
        <v/>
      </c>
      <c r="H13" s="12">
        <f>IF(G13&gt;=20,"Critical",IF(G13&gt;=11,"High",IF(G13&gt;=6,"Medium","Low")))</f>
        <v/>
      </c>
      <c r="I13" s="12" t="inlineStr">
        <is>
          <t>SSO-managed access lifecycle through Okta</t>
        </is>
      </c>
      <c r="J13" s="12" t="inlineStr">
        <is>
          <t>04-User-Access-Management: UAM-T002, UAM-T003 (Okta lifecycle only; partial coverage)</t>
        </is>
      </c>
      <c r="K13" s="12" t="inlineStr">
        <is>
          <t>Reduce</t>
        </is>
      </c>
      <c r="L13" s="12" t="inlineStr">
        <is>
          <t>Review connected-app inventory annually</t>
        </is>
      </c>
      <c r="M13" s="12" t="inlineStr">
        <is>
          <t>IAM Administrator</t>
        </is>
      </c>
      <c r="N13" s="12" t="inlineStr">
        <is>
          <t>IAM Administrator</t>
        </is>
      </c>
      <c r="O13" s="12" t="n">
        <v>2</v>
      </c>
      <c r="P13" s="12" t="n">
        <v>3</v>
      </c>
      <c r="Q13" s="12">
        <f>O13*P13</f>
        <v/>
      </c>
      <c r="R13" s="12">
        <f>IF(Q13&gt;=20,"Critical",IF(Q13&gt;=11,"High",IF(Q13&gt;=6,"Medium","Low")))</f>
        <v/>
      </c>
      <c r="S13" s="12" t="inlineStr">
        <is>
          <t>Current testing provides assurance over the Okta identity lifecycle but does not evaluate security controls within connected third-party SaaS applications. Because these trust relationships remain outside the tested scope, no reduction in residual risk is applied.</t>
        </is>
      </c>
    </row>
    <row r="14">
      <c r="A14" s="13" t="n"/>
      <c r="B14" s="13" t="n"/>
      <c r="C14" s="13" t="n"/>
      <c r="D14" s="13" t="n"/>
      <c r="E14" s="13" t="n"/>
      <c r="F14" s="13" t="n"/>
      <c r="G14" s="13" t="n"/>
      <c r="H14" s="13" t="n"/>
      <c r="I14" s="13" t="n"/>
      <c r="J14" s="13" t="n"/>
      <c r="K14" s="13" t="n"/>
      <c r="L14" s="13" t="n"/>
      <c r="M14" s="13" t="n"/>
      <c r="N14" s="13" t="n"/>
      <c r="O14" s="13" t="n"/>
      <c r="P14" s="13" t="n"/>
      <c r="Q14" s="13" t="n"/>
      <c r="R14" s="13" t="n"/>
      <c r="S14" s="13" t="n"/>
    </row>
    <row r="15" ht="18" customHeight="1" s="10">
      <c r="A15" s="14" t="inlineStr">
        <is>
          <t>Note: ITGC evidence references reflect Q1 2026 interim testing only. Control conclusions are based on the samples tested during the interim period and do not represent full-year operating effectiveness.</t>
        </is>
      </c>
      <c r="B15" s="13" t="n"/>
      <c r="C15" s="13" t="n"/>
      <c r="D15" s="13" t="n"/>
      <c r="E15" s="13" t="n"/>
      <c r="F15" s="13" t="n"/>
      <c r="G15" s="13" t="n"/>
      <c r="H15" s="13" t="n"/>
      <c r="I15" s="13" t="n"/>
      <c r="J15" s="13" t="n"/>
      <c r="K15" s="13" t="n"/>
      <c r="L15" s="13" t="n"/>
      <c r="M15" s="13" t="n"/>
      <c r="N15" s="13" t="n"/>
      <c r="O15" s="13" t="n"/>
      <c r="P15" s="13" t="n"/>
      <c r="Q15" s="13" t="n"/>
      <c r="R15" s="13" t="n"/>
      <c r="S15" s="13" t="n"/>
    </row>
    <row r="16" ht="33" customHeight="1" s="10">
      <c r="A16" s="14" t="inlineStr">
        <is>
          <t>Scoring: Inherent Score = Likelihood x Impact; Residual Score = Residual Likelihood x Residual Impact. Rating thresholds (Low 1-5, Medium 6-10, High 11-19, Critical 20-25) per 09-ISO27001-Risk-Assessment/Risk-Assessment-Methodology.md.</t>
        </is>
      </c>
      <c r="B16" s="13" t="n"/>
      <c r="C16" s="13" t="n"/>
      <c r="D16" s="13" t="n"/>
      <c r="E16" s="13" t="n"/>
      <c r="F16" s="13" t="n"/>
      <c r="G16" s="13" t="n"/>
      <c r="H16" s="13" t="n"/>
      <c r="I16" s="13" t="n"/>
      <c r="J16" s="13" t="n"/>
      <c r="K16" s="13" t="n"/>
      <c r="L16" s="13" t="n"/>
      <c r="M16" s="13" t="n"/>
      <c r="N16" s="13" t="n"/>
      <c r="O16" s="13" t="n"/>
      <c r="P16" s="13" t="n"/>
      <c r="Q16" s="13" t="n"/>
      <c r="R16" s="13" t="n"/>
      <c r="S16" s="13" t="n"/>
    </row>
    <row r="17" ht="18" customHeight="1" s="10">
      <c r="A17" s="14" t="inlineStr">
        <is>
          <t>Residual rule: tested controls reduce likelihood only; controls that are untested or outside ITGC scope earn no credit (residual equals inherent).</t>
        </is>
      </c>
      <c r="B17" s="13" t="n"/>
      <c r="C17" s="13" t="n"/>
      <c r="D17" s="13" t="n"/>
      <c r="E17" s="13" t="n"/>
      <c r="F17" s="13" t="n"/>
      <c r="G17" s="13" t="n"/>
      <c r="H17" s="13" t="n"/>
      <c r="I17" s="13" t="n"/>
      <c r="J17" s="13" t="n"/>
      <c r="K17" s="13" t="n"/>
      <c r="L17" s="13" t="n"/>
      <c r="M17" s="13" t="n"/>
      <c r="N17" s="13" t="n"/>
      <c r="O17" s="13" t="n"/>
      <c r="P17" s="13" t="n"/>
      <c r="Q17" s="13" t="n"/>
      <c r="R17" s="13" t="n"/>
      <c r="S17" s="13" t="n"/>
    </row>
  </sheetData>
  <autoFilter ref="A1:S13"/>
  <mergeCells count="3">
    <mergeCell ref="A16:L16"/>
    <mergeCell ref="A15:L15"/>
    <mergeCell ref="A17:L17"/>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C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9" min="1" max="1"/>
    <col width="12" customWidth="1" style="9" min="2" max="3"/>
  </cols>
  <sheetData>
    <row r="1" s="10">
      <c r="A1" s="11" t="inlineStr">
        <is>
          <t>Rating</t>
        </is>
      </c>
      <c r="B1" s="11" t="inlineStr">
        <is>
          <t>Inherent</t>
        </is>
      </c>
      <c r="C1" s="11" t="inlineStr">
        <is>
          <t>Residual</t>
        </is>
      </c>
    </row>
    <row r="2" s="10">
      <c r="A2" s="12" t="inlineStr">
        <is>
          <t>Critical</t>
        </is>
      </c>
      <c r="B2" s="12">
        <f>COUNTIF('Risk Register'!$H$2:$H$13,A2)</f>
        <v/>
      </c>
      <c r="C2" s="12">
        <f>COUNTIF('Risk Register'!$R$2:$R$13,A2)</f>
        <v/>
      </c>
    </row>
    <row r="3" s="10">
      <c r="A3" s="12" t="inlineStr">
        <is>
          <t>High</t>
        </is>
      </c>
      <c r="B3" s="12">
        <f>COUNTIF('Risk Register'!$H$2:$H$13,A3)</f>
        <v/>
      </c>
      <c r="C3" s="12">
        <f>COUNTIF('Risk Register'!$R$2:$R$13,A3)</f>
        <v/>
      </c>
    </row>
    <row r="4" s="10">
      <c r="A4" s="12" t="inlineStr">
        <is>
          <t>Medium</t>
        </is>
      </c>
      <c r="B4" s="12">
        <f>COUNTIF('Risk Register'!$H$2:$H$13,A4)</f>
        <v/>
      </c>
      <c r="C4" s="12">
        <f>COUNTIF('Risk Register'!$R$2:$R$13,A4)</f>
        <v/>
      </c>
    </row>
    <row r="5" s="10">
      <c r="A5" s="12" t="inlineStr">
        <is>
          <t>Low</t>
        </is>
      </c>
      <c r="B5" s="12">
        <f>COUNTIF('Risk Register'!$H$2:$H$13,A5)</f>
        <v/>
      </c>
      <c r="C5" s="12">
        <f>COUNTIF('Risk Register'!$R$2:$R$13,A5)</f>
        <v/>
      </c>
    </row>
    <row r="6" s="10">
      <c r="A6" s="15" t="inlineStr">
        <is>
          <t>Total</t>
        </is>
      </c>
      <c r="B6" s="15">
        <f>SUM(B2:B5)</f>
        <v/>
      </c>
      <c r="C6" s="15">
        <f>SUM(C2:C5)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2026-10-08T04:48:20Z</dcterms:created>
  <dcterms:modified xmlns:dcterms="http://purl.org/dc/terms/" xmlns:xsi="http://www.w3.org/2001/XMLSchema-instance" xsi:type="dcterms:W3CDTF">2026-10-13T11:33:51Z</dcterms:modified>
  <cp:revision>0</cp:revision>
</cp:coreProperties>
</file>